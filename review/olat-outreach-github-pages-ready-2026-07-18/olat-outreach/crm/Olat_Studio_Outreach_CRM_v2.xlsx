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59ecfb541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reach CRM" sheetId="1" r:id="R8487fff4dca846b6"/>
    <x:sheet xmlns:r="http://schemas.openxmlformats.org/officeDocument/2006/relationships" name="Dashboard" sheetId="2" r:id="Rff1877e5b1ef4ec8"/>
    <x:sheet xmlns:r="http://schemas.openxmlformats.org/officeDocument/2006/relationships" name="Lists" sheetId="3" r:id="Re3c5c122ee0c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$#,##0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4F8A74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c38565c1140e4" /><Relationship Type="http://schemas.openxmlformats.org/officeDocument/2006/relationships/theme" Target="/xl/theme/theme1.xml" Id="R29af9b74cefa484d" /><Relationship Type="http://schemas.openxmlformats.org/officeDocument/2006/relationships/sharedStrings" Target="/xl/sharedStrings.xml" Id="R318288fc2aa54b9b" /><Relationship Type="http://schemas.openxmlformats.org/officeDocument/2006/relationships/worksheet" Target="/xl/worksheets/sheet1.xml" Id="R8487fff4dca846b6" /><Relationship Type="http://schemas.openxmlformats.org/officeDocument/2006/relationships/worksheet" Target="/xl/worksheets/sheet2.xml" Id="Rff1877e5b1ef4ec8" /><Relationship Type="http://schemas.openxmlformats.org/officeDocument/2006/relationships/worksheet" Target="/xl/worksheets/sheet3.xml" Id="Re3c5c122ee0c4e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29939708f44a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Pipeline by Stage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'Dashboard'!$D$4:$D$14</c:f>
              <c:strCache>
                <c:ptCount val="0"/>
              </c:strCache>
            </c:strRef>
          </c:cat>
          <c:val>
            <c:numRef>
              <c:f>'Dashboard'!$E$4:$E$14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9939708f44a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utreachCRMTable" displayName="OutreachCRMTable" ref="A1:AF6" headerRowCount="1">
  <x:tableColumns count="32">
    <x:tableColumn id="1" name="Brand"/>
    <x:tableColumn id="2" name="Industry"/>
    <x:tableColumn id="3" name="Country"/>
    <x:tableColumn id="4" name="Website"/>
    <x:tableColumn id="5" name="Contact Name"/>
    <x:tableColumn id="6" name="Contact Email"/>
    <x:tableColumn id="7" name="Contact Page"/>
    <x:tableColumn id="8" name="Priority"/>
    <x:tableColumn id="9" name="Opportunity Score"/>
    <x:tableColumn id="10" name="Status"/>
    <x:tableColumn id="11" name="Snapshot Version"/>
    <x:tableColumn id="12" name="Email Version"/>
    <x:tableColumn id="13" name="Snapshot URL"/>
    <x:tableColumn id="14" name="Snapshot Ready"/>
    <x:tableColumn id="15" name="Email Ready"/>
    <x:tableColumn id="16" name="Gmail Draft"/>
    <x:tableColumn id="17" name="Sent Date"/>
    <x:tableColumn id="18" name="Follow-up #1"/>
    <x:tableColumn id="19" name="Follow-up #2"/>
    <x:tableColumn id="20" name="Reply Date"/>
    <x:tableColumn id="21" name="Reply Status"/>
    <x:tableColumn id="22" name="Reply Summary"/>
    <x:tableColumn id="23" name="Reply Score"/>
    <x:tableColumn id="24" name="Paid Report"/>
    <x:tableColumn id="25" name="Store Launch"/>
    <x:tableColumn id="26" name="Monthly Support"/>
    <x:tableColumn id="27" name="Revenue"/>
    <x:tableColumn id="28" name="Outcome"/>
    <x:tableColumn id="29" name="Next Action"/>
    <x:tableColumn id="30" name="Notes"/>
    <x:tableColumn id="31" name="Last Updated"/>
    <x:tableColumn id="32" name="Internal Source UR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86c3dbf9d54b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6f6b5fa240a49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25" hidden="0" customWidth="1"/>
    <x:col min="7" max="7" width="32" hidden="0" customWidth="1"/>
    <x:col min="8" max="8" width="16" hidden="0" customWidth="1"/>
    <x:col min="9" max="9" width="14.5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7.130000114440918" hidden="0" customWidth="1"/>
    <x:col min="28" max="28" width="16" hidden="0" customWidth="1"/>
    <x:col min="29" max="29" width="32" hidden="0" customWidth="1"/>
    <x:col min="30" max="30" width="32" hidden="0" customWidth="1"/>
    <x:col min="31" max="31" width="10.630000114440918" hidden="0" customWidth="1"/>
    <x:col min="32" max="32" width="32" hidden="0" customWidth="1"/>
  </x:cols>
  <x:sheetData>
    <x:row r="1" ht="34" customHeight="1">
      <x:c r="A1" s="6" t="str">
        <x:v>Brand</x:v>
      </x:c>
      <x:c r="B1" s="6" t="str">
        <x:v>Industry</x:v>
      </x:c>
      <x:c r="C1" s="6" t="str">
        <x:v>Country</x:v>
      </x:c>
      <x:c r="D1" s="6" t="str">
        <x:v>Website</x:v>
      </x:c>
      <x:c r="E1" s="6" t="str">
        <x:v>Contact Name</x:v>
      </x:c>
      <x:c r="F1" s="6" t="str">
        <x:v>Contact Email</x:v>
      </x:c>
      <x:c r="G1" s="6" t="str">
        <x:v>Contact Page</x:v>
      </x:c>
      <x:c r="H1" s="6" t="str">
        <x:v>Priority</x:v>
      </x:c>
      <x:c r="I1" s="6" t="str">
        <x:v>Opportunity Score</x:v>
      </x:c>
      <x:c r="J1" s="6" t="str">
        <x:v>Status</x:v>
      </x:c>
      <x:c r="K1" s="6" t="str">
        <x:v>Snapshot Version</x:v>
      </x:c>
      <x:c r="L1" s="6" t="str">
        <x:v>Email Version</x:v>
      </x:c>
      <x:c r="M1" s="6" t="str">
        <x:v>Snapshot URL</x:v>
      </x:c>
      <x:c r="N1" s="6" t="str">
        <x:v>Snapshot Ready</x:v>
      </x:c>
      <x:c r="O1" s="6" t="str">
        <x:v>Email Ready</x:v>
      </x:c>
      <x:c r="P1" s="6" t="str">
        <x:v>Gmail Draft</x:v>
      </x:c>
      <x:c r="Q1" s="6" t="str">
        <x:v>Sent Date</x:v>
      </x:c>
      <x:c r="R1" s="6" t="str">
        <x:v>Follow-up #1</x:v>
      </x:c>
      <x:c r="S1" s="6" t="str">
        <x:v>Follow-up #2</x:v>
      </x:c>
      <x:c r="T1" s="6" t="str">
        <x:v>Reply Date</x:v>
      </x:c>
      <x:c r="U1" s="6" t="str">
        <x:v>Reply Status</x:v>
      </x:c>
      <x:c r="V1" s="6" t="str">
        <x:v>Reply Summary</x:v>
      </x:c>
      <x:c r="W1" s="6" t="str">
        <x:v>Reply Score</x:v>
      </x:c>
      <x:c r="X1" s="6" t="str">
        <x:v>Paid Report</x:v>
      </x:c>
      <x:c r="Y1" s="6" t="str">
        <x:v>Store Launch</x:v>
      </x:c>
      <x:c r="Z1" s="6" t="str">
        <x:v>Monthly Support</x:v>
      </x:c>
      <x:c r="AA1" s="6" t="str">
        <x:v>Revenue</x:v>
      </x:c>
      <x:c r="AB1" s="6" t="str">
        <x:v>Outcome</x:v>
      </x:c>
      <x:c r="AC1" s="6" t="str">
        <x:v>Next Action</x:v>
      </x:c>
      <x:c r="AD1" s="6" t="str">
        <x:v>Notes</x:v>
      </x:c>
      <x:c r="AE1" s="6" t="str">
        <x:v>Last Updated</x:v>
      </x:c>
      <x:c r="AF1" s="6" t="str">
        <x:v>Internal Source URLs</x:v>
      </x:c>
    </x:row>
    <x:row r="2">
      <x:c r="A2" s="12" t="str">
        <x:v>Alpha Paw</x:v>
      </x:c>
      <x:c r="B2" s="12" t="str">
        <x:v>Pet</x:v>
      </x:c>
      <x:c r="C2" s="12" t="str">
        <x:v>USA</x:v>
      </x:c>
      <x:c r="D2" s="12" t="str">
        <x:v>https://www.alphapaw.com/</x:v>
      </x:c>
      <x:c r="E2" s="12" t="str"/>
      <x:c r="F2" s="12" t="str">
        <x:v>support@alphapaw.com</x:v>
      </x:c>
      <x:c r="G2" s="12" t="str">
        <x:v>https://www.alphapaw.com/pages/contact-us/</x:v>
      </x:c>
      <x:c r="H2" s="12" t="str">
        <x:v>A</x:v>
      </x:c>
      <x:c r="I2" s="14" t="str"/>
      <x:c r="J2" s="12" t="str">
        <x:v>Email Sent</x:v>
      </x:c>
      <x:c r="K2" s="12" t="str">
        <x:v>v1</x:v>
      </x:c>
      <x:c r="L2" s="12" t="str">
        <x:v>A</x:v>
      </x:c>
      <x:c r="M2" s="12" t="str">
        <x:v>https://ola-j-py.github.io/olat-outreach/review/alphapaw/</x:v>
      </x:c>
      <x:c r="N2" s="12" t="str">
        <x:v>Yes</x:v>
      </x:c>
      <x:c r="O2" s="12" t="str">
        <x:v>Yes</x:v>
      </x:c>
      <x:c r="P2" s="12" t="str">
        <x:v>No</x:v>
      </x:c>
      <x:c r="Q2" s="16" t="str"/>
      <x:c r="R2" s="16" t="str"/>
      <x:c r="S2" s="16" t="str"/>
      <x:c r="T2" s="16" t="str"/>
      <x:c r="U2" s="12" t="str">
        <x:v>No Reply</x:v>
      </x:c>
      <x:c r="V2" s="12" t="str"/>
      <x:c r="W2" s="12" t="str"/>
      <x:c r="X2" s="12" t="str">
        <x:v>No</x:v>
      </x:c>
      <x:c r="Y2" s="12" t="str">
        <x:v>No</x:v>
      </x:c>
      <x:c r="Z2" s="12" t="str">
        <x:v>No</x:v>
      </x:c>
      <x:c r="AA2" s="18" t="n">
        <x:v>0</x:v>
      </x:c>
      <x:c r="AB2" s="12" t="str">
        <x:v>No Reply</x:v>
      </x:c>
      <x:c r="AC2" s="12" t="str">
        <x:v>Wait for reply / schedule follow-up</x:v>
      </x:c>
      <x:c r="AD2" s="12" t="str">
        <x:v>Previously sent by user</x:v>
      </x:c>
      <x:c r="AE2" s="16" t="str">
        <x:v>2026-07-17</x:v>
      </x:c>
      <x:c r="AF2" s="12" t="str">
        <x:v>https://www.alphapaw.com/pages/about-us/ | https://www.alphapaw.com/pages/contact-us/</x:v>
      </x:c>
    </x:row>
    <x:row r="3">
      <x:c r="A3" s="12" t="str">
        <x:v>GUNNER</x:v>
      </x:c>
      <x:c r="B3" s="12" t="str">
        <x:v>Pet / Travel Safety</x:v>
      </x:c>
      <x:c r="C3" s="12" t="str">
        <x:v>USA</x:v>
      </x:c>
      <x:c r="D3" s="12" t="str">
        <x:v>https://gunner.com/</x:v>
      </x:c>
      <x:c r="E3" s="12" t="str"/>
      <x:c r="F3" s="12" t="str">
        <x:v>info@gunner.com</x:v>
      </x:c>
      <x:c r="G3" s="12" t="str">
        <x:v>https://gunner.com/pages/contact</x:v>
      </x:c>
      <x:c r="H3" s="12" t="str">
        <x:v>A</x:v>
      </x:c>
      <x:c r="I3" s="14" t="str"/>
      <x:c r="J3" s="12" t="str">
        <x:v>Email Sent</x:v>
      </x:c>
      <x:c r="K3" s="12" t="str">
        <x:v>v1</x:v>
      </x:c>
      <x:c r="L3" s="12" t="str">
        <x:v>A</x:v>
      </x:c>
      <x:c r="M3" s="12" t="str">
        <x:v>https://ola-j-py.github.io/olat-outreach/review/gunner/</x:v>
      </x:c>
      <x:c r="N3" s="12" t="str">
        <x:v>Yes</x:v>
      </x:c>
      <x:c r="O3" s="12" t="str">
        <x:v>Yes</x:v>
      </x:c>
      <x:c r="P3" s="12" t="str">
        <x:v>No</x:v>
      </x:c>
      <x:c r="Q3" s="16" t="str"/>
      <x:c r="R3" s="16" t="str"/>
      <x:c r="S3" s="16" t="str"/>
      <x:c r="T3" s="16" t="str"/>
      <x:c r="U3" s="12" t="str">
        <x:v>No Reply</x:v>
      </x:c>
      <x:c r="V3" s="12" t="str"/>
      <x:c r="W3" s="12" t="str"/>
      <x:c r="X3" s="12" t="str">
        <x:v>No</x:v>
      </x:c>
      <x:c r="Y3" s="12" t="str">
        <x:v>No</x:v>
      </x:c>
      <x:c r="Z3" s="12" t="str">
        <x:v>No</x:v>
      </x:c>
      <x:c r="AA3" s="18" t="n">
        <x:v>0</x:v>
      </x:c>
      <x:c r="AB3" s="12" t="str">
        <x:v>No Reply</x:v>
      </x:c>
      <x:c r="AC3" s="12" t="str">
        <x:v>Wait for reply / schedule follow-up</x:v>
      </x:c>
      <x:c r="AD3" s="12" t="str">
        <x:v>Previously sent by user</x:v>
      </x:c>
      <x:c r="AE3" s="16" t="str">
        <x:v>2026-07-17</x:v>
      </x:c>
      <x:c r="AF3" s="12" t="str">
        <x:v>https://gunner.com/pages/contact | https://gunner.com/collections/kennels | https://gunner.com/pages/warranty</x:v>
      </x:c>
    </x:row>
    <x:row r="4">
      <x:c r="A4" s="12" t="str">
        <x:v>CLIQ</x:v>
      </x:c>
      <x:c r="B4" s="12" t="str">
        <x:v>Outdoor</x:v>
      </x:c>
      <x:c r="C4" s="12" t="str">
        <x:v>USA</x:v>
      </x:c>
      <x:c r="D4" s="12" t="str">
        <x:v>https://www.cliqproducts.com/</x:v>
      </x:c>
      <x:c r="E4" s="12" t="str"/>
      <x:c r="F4" s="12" t="str">
        <x:v>sales@cliqproducts.com</x:v>
      </x:c>
      <x:c r="G4" s="12" t="str">
        <x:v>https://www.cliqproducts.com/pages/contact-us</x:v>
      </x:c>
      <x:c r="H4" s="12" t="str">
        <x:v>A</x:v>
      </x:c>
      <x:c r="I4" s="14" t="n">
        <x:v>74</x:v>
      </x:c>
      <x:c r="J4" s="12" t="str">
        <x:v>Draft Ready</x:v>
      </x:c>
      <x:c r="K4" s="12" t="str">
        <x:v>v1</x:v>
      </x:c>
      <x:c r="L4" s="12" t="str">
        <x:v>A</x:v>
      </x:c>
      <x:c r="M4" s="12" t="str">
        <x:v>https://ola-j-py.github.io/olat-outreach/review/cliq/</x:v>
      </x:c>
      <x:c r="N4" s="12" t="str">
        <x:v>Yes</x:v>
      </x:c>
      <x:c r="O4" s="12" t="str">
        <x:v>Yes</x:v>
      </x:c>
      <x:c r="P4" s="12" t="str">
        <x:v>Yes</x:v>
      </x:c>
      <x:c r="Q4" s="16" t="str"/>
      <x:c r="R4" s="16" t="str"/>
      <x:c r="S4" s="16" t="str"/>
      <x:c r="T4" s="16" t="str"/>
      <x:c r="U4" s="12" t="str">
        <x:v>No Reply</x:v>
      </x:c>
      <x:c r="V4" s="12" t="str"/>
      <x:c r="W4" s="12" t="str"/>
      <x:c r="X4" s="12" t="str">
        <x:v>No</x:v>
      </x:c>
      <x:c r="Y4" s="12" t="str">
        <x:v>No</x:v>
      </x:c>
      <x:c r="Z4" s="12" t="str">
        <x:v>No</x:v>
      </x:c>
      <x:c r="AA4" s="18" t="n">
        <x:v>0</x:v>
      </x:c>
      <x:c r="AB4" s="12" t="str"/>
      <x:c r="AC4" s="12" t="str">
        <x:v>Publish snapshot, verify URL, review Gmail draft, then send</x:v>
      </x:c>
      <x:c r="AD4" s="12" t="str">
        <x:v>Score is an entry-hypothesis assessment, not a sales forecast.</x:v>
      </x:c>
      <x:c r="AE4" s="16" t="str">
        <x:v>2026-07-17</x:v>
      </x:c>
      <x:c r="AF4" s="12" t="str">
        <x:v>https://www.cliqproducts.com/ | https://www.cliqproducts.com/pages/faqs | https://www.cliqproducts.com/pages/shipping-returns-and-warranty-policy | https://www.cliqproducts.com/pages/custom-chair-orders | https://www.cliqproducts.com/products/cliq-chair | https://www.cliqproducts.com/collections/all</x:v>
      </x:c>
    </x:row>
    <x:row r="5">
      <x:c r="A5" s="12" t="str">
        <x:v>OSEA Malibu</x:v>
      </x:c>
      <x:c r="B5" s="12" t="str">
        <x:v>Beauty</x:v>
      </x:c>
      <x:c r="C5" s="12" t="str">
        <x:v>USA</x:v>
      </x:c>
      <x:c r="D5" s="12" t="str"/>
      <x:c r="E5" s="12" t="str"/>
      <x:c r="F5" s="12" t="str"/>
      <x:c r="G5" s="12" t="str"/>
      <x:c r="H5" s="12" t="str">
        <x:v>B</x:v>
      </x:c>
      <x:c r="I5" s="14" t="str"/>
      <x:c r="J5" s="12" t="str">
        <x:v>Research Queue</x:v>
      </x:c>
      <x:c r="K5" s="12" t="str"/>
      <x:c r="L5" s="12" t="str"/>
      <x:c r="M5" s="12" t="str"/>
      <x:c r="N5" s="12" t="str">
        <x:v>No</x:v>
      </x:c>
      <x:c r="O5" s="12" t="str">
        <x:v>No</x:v>
      </x:c>
      <x:c r="P5" s="12" t="str">
        <x:v>No</x:v>
      </x:c>
      <x:c r="Q5" s="16" t="str"/>
      <x:c r="R5" s="16" t="str"/>
      <x:c r="S5" s="16" t="str"/>
      <x:c r="T5" s="16" t="str"/>
      <x:c r="U5" s="12" t="str">
        <x:v>No Reply</x:v>
      </x:c>
      <x:c r="V5" s="12" t="str"/>
      <x:c r="W5" s="12" t="str"/>
      <x:c r="X5" s="12" t="str">
        <x:v>No</x:v>
      </x:c>
      <x:c r="Y5" s="12" t="str">
        <x:v>No</x:v>
      </x:c>
      <x:c r="Z5" s="12" t="str">
        <x:v>No</x:v>
      </x:c>
      <x:c r="AA5" s="18" t="n">
        <x:v>0</x:v>
      </x:c>
      <x:c r="AB5" s="12" t="str"/>
      <x:c r="AC5" s="12" t="str">
        <x:v>Verify official site and contact details</x:v>
      </x:c>
      <x:c r="AD5" s="12" t="str"/>
      <x:c r="AE5" s="16" t="str">
        <x:v>2026-07-17</x:v>
      </x:c>
      <x:c r="AF5" s="12" t="str"/>
    </x:row>
    <x:row r="6">
      <x:c r="A6" s="12" t="str">
        <x:v>Schoolhouse</x:v>
      </x:c>
      <x:c r="B6" s="12" t="str">
        <x:v>Home</x:v>
      </x:c>
      <x:c r="C6" s="12" t="str">
        <x:v>USA</x:v>
      </x:c>
      <x:c r="D6" s="12" t="str"/>
      <x:c r="E6" s="12" t="str"/>
      <x:c r="F6" s="12" t="str"/>
      <x:c r="G6" s="12" t="str"/>
      <x:c r="H6" s="12" t="str">
        <x:v>B</x:v>
      </x:c>
      <x:c r="I6" s="14" t="str"/>
      <x:c r="J6" s="12" t="str">
        <x:v>Research Queue</x:v>
      </x:c>
      <x:c r="K6" s="12" t="str"/>
      <x:c r="L6" s="12" t="str"/>
      <x:c r="M6" s="12" t="str"/>
      <x:c r="N6" s="12" t="str">
        <x:v>No</x:v>
      </x:c>
      <x:c r="O6" s="12" t="str">
        <x:v>No</x:v>
      </x:c>
      <x:c r="P6" s="12" t="str">
        <x:v>No</x:v>
      </x:c>
      <x:c r="Q6" s="16" t="str"/>
      <x:c r="R6" s="16" t="str"/>
      <x:c r="S6" s="16" t="str"/>
      <x:c r="T6" s="16" t="str"/>
      <x:c r="U6" s="12" t="str">
        <x:v>No Reply</x:v>
      </x:c>
      <x:c r="V6" s="12" t="str"/>
      <x:c r="W6" s="12" t="str"/>
      <x:c r="X6" s="12" t="str">
        <x:v>No</x:v>
      </x:c>
      <x:c r="Y6" s="12" t="str">
        <x:v>No</x:v>
      </x:c>
      <x:c r="Z6" s="12" t="str">
        <x:v>No</x:v>
      </x:c>
      <x:c r="AA6" s="18" t="n">
        <x:v>0</x:v>
      </x:c>
      <x:c r="AB6" s="12" t="str"/>
      <x:c r="AC6" s="12" t="str">
        <x:v>Verify official site and contact details</x:v>
      </x:c>
      <x:c r="AD6" s="12" t="str"/>
      <x:c r="AE6" s="16" t="str">
        <x:v>2026-07-17</x:v>
      </x:c>
      <x:c r="AF6" s="12" t="str"/>
    </x:row>
  </x:sheetData>
  <x:conditionalFormatting sqref="I2:I2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A2:AA200">
    <x:cfRule type="dataBar" priority="2">
      <x:dataBar>
        <x:cfvo type="min"/>
        <x:cfvo type="max"/>
        <x:color rgb="FF4F8A74"/>
      </x:dataBar>
      <x:extLst>
        <x:ext xmlns:x14="http://schemas.microsoft.com/office/spreadsheetml/2009/9/main" uri="{B025F937-C7B1-47D3-B67F-A62EFF666E3E}">
          <x14:id>{477FB284-EC79-C40F-BFBA-97C5E49E1C52}</x14:id>
        </x:ext>
      </x:extLst>
    </x:cfRule>
  </x:conditionalFormatting>
  <x:dataValidations count="11">
    <x:dataValidation type="list" sqref="H2:H200">
      <x:formula1>"A,B,C"</x:formula1>
    </x:dataValidation>
    <x:dataValidation type="list" sqref="J2:J200">
      <x:formula1>"Research Queue,Researching,Ready to Publish,Published,Draft Ready,Email Sent,Replied,Paid Report,Store Launch,Monthly Support,Closed"</x:formula1>
    </x:dataValidation>
    <x:dataValidation type="list" sqref="N2:N200">
      <x:formula1>"Yes,No"</x:formula1>
    </x:dataValidation>
    <x:dataValidation type="list" sqref="O2:O200">
      <x:formula1>"Yes,No"</x:formula1>
    </x:dataValidation>
    <x:dataValidation type="list" sqref="P2:P200">
      <x:formula1>"Yes,No"</x:formula1>
    </x:dataValidation>
    <x:dataValidation type="list" sqref="X2:X200">
      <x:formula1>"Yes,No"</x:formula1>
    </x:dataValidation>
    <x:dataValidation type="list" sqref="Y2:Y200">
      <x:formula1>"Yes,No"</x:formula1>
    </x:dataValidation>
    <x:dataValidation type="list" sqref="Z2:Z200">
      <x:formula1>"Yes,No"</x:formula1>
    </x:dataValidation>
    <x:dataValidation type="list" sqref="U2:U200">
      <x:formula1>"No Reply,Replied"</x:formula1>
    </x:dataValidation>
    <x:dataValidation type="list" sqref="W2:W200">
      <x:formula1>"1,2,3,4,5"</x:formula1>
    </x:dataValidation>
    <x:dataValidation type="list" sqref="AB2:AB200">
      <x:formula1>"No Reply,Replied,Report Sold,Launch Won,Monthly Won,Not a Fit,Paused"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6c3dbf9d54b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77FB284-EC79-C40F-BFBA-97C5E49E1C52}">
            <x14:dataBar gradient="1">
              <x14:cfvo type="min"/>
              <x14:cfvo type="max"/>
              <x14:fillColor rgb="FF4F8A74"/>
            </x14:dataBar>
          </x14:cfRule>
          <xm:sqref>AA2:AA200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22" t="str">
        <x:v>OLAT STUDIO — OUTREACH DASHBOARD v2</x:v>
      </x:c>
      <x:c r="B1" s="22"/>
      <x:c r="C1" s="22"/>
      <x:c r="D1" s="22"/>
      <x:c r="E1" s="22"/>
      <x:c r="F1" s="22"/>
      <x:c r="G1" s="22"/>
      <x:c r="H1" s="22"/>
    </x:row>
    <x:row r="3" ht="22" customHeight="1">
      <x:c r="A3" s="27" t="str">
        <x:v>KPI</x:v>
      </x:c>
      <x:c r="B3" s="27" t="str">
        <x:v>Value</x:v>
      </x:c>
      <x:c r="C3" s="34"/>
      <x:c r="D3" s="27" t="str">
        <x:v>Pipeline Stage</x:v>
      </x:c>
      <x:c r="E3" s="27" t="str">
        <x:v>Count</x:v>
      </x:c>
    </x:row>
    <x:row r="4" ht="22" customHeight="1">
      <x:c r="A4" s="35" t="str">
        <x:v>Total prospects</x:v>
      </x:c>
      <x:c r="B4" s="34" t="n">
        <x:f>COUNTA('Outreach CRM'!A2:A200)</x:f>
        <x:v>5</x:v>
      </x:c>
      <x:c r="C4" s="34"/>
      <x:c r="D4" s="35" t="str">
        <x:v>Research Queue</x:v>
      </x:c>
      <x:c r="E4" s="34" t="n">
        <x:f>COUNTIF('Outreach CRM'!J2:J200,D4)</x:f>
        <x:v>2</x:v>
      </x:c>
    </x:row>
    <x:row r="5" ht="22" customHeight="1">
      <x:c r="A5" s="35" t="str">
        <x:v>Snapshots ready</x:v>
      </x:c>
      <x:c r="B5" s="34" t="n">
        <x:f>COUNTIF('Outreach CRM'!N2:N200,"Yes")</x:f>
        <x:v>3</x:v>
      </x:c>
      <x:c r="C5" s="34"/>
      <x:c r="D5" s="35" t="str">
        <x:v>Researching</x:v>
      </x:c>
      <x:c r="E5" s="34" t="n">
        <x:f>COUNTIF('Outreach CRM'!J2:J200,D5)</x:f>
        <x:v>0</x:v>
      </x:c>
    </x:row>
    <x:row r="6" ht="22" customHeight="1">
      <x:c r="A6" s="35" t="str">
        <x:v>Gmail drafts</x:v>
      </x:c>
      <x:c r="B6" s="34" t="n">
        <x:f>COUNTIF('Outreach CRM'!P2:P200,"Yes")</x:f>
        <x:v>1</x:v>
      </x:c>
      <x:c r="C6" s="34"/>
      <x:c r="D6" s="35" t="str">
        <x:v>Ready to Publish</x:v>
      </x:c>
      <x:c r="E6" s="34" t="n">
        <x:f>COUNTIF('Outreach CRM'!J2:J200,D6)</x:f>
        <x:v>0</x:v>
      </x:c>
    </x:row>
    <x:row r="7" ht="22" customHeight="1">
      <x:c r="A7" s="35" t="str">
        <x:v>Emails sent</x:v>
      </x:c>
      <x:c r="B7" s="34" t="n">
        <x:f>COUNTIF('Outreach CRM'!J2:J200,"Email Sent")</x:f>
        <x:v>2</x:v>
      </x:c>
      <x:c r="C7" s="34"/>
      <x:c r="D7" s="35" t="str">
        <x:v>Published</x:v>
      </x:c>
      <x:c r="E7" s="34" t="n">
        <x:f>COUNTIF('Outreach CRM'!J2:J200,D7)</x:f>
        <x:v>0</x:v>
      </x:c>
    </x:row>
    <x:row r="8" ht="22" customHeight="1">
      <x:c r="A8" s="35" t="str">
        <x:v>Replies</x:v>
      </x:c>
      <x:c r="B8" s="34" t="n">
        <x:f>COUNTIF('Outreach CRM'!U2:U200,"Replied")</x:f>
        <x:v>0</x:v>
      </x:c>
      <x:c r="C8" s="34"/>
      <x:c r="D8" s="35" t="str">
        <x:v>Draft Ready</x:v>
      </x:c>
      <x:c r="E8" s="34" t="n">
        <x:f>COUNTIF('Outreach CRM'!J2:J200,D8)</x:f>
        <x:v>1</x:v>
      </x:c>
    </x:row>
    <x:row r="9" ht="22" customHeight="1">
      <x:c r="A9" s="35" t="str">
        <x:v>Reply rate</x:v>
      </x:c>
      <x:c r="B9" s="30" t="n">
        <x:f>IF(B7=0,0,B8/B7)</x:f>
        <x:v>0</x:v>
      </x:c>
      <x:c r="C9" s="34"/>
      <x:c r="D9" s="35" t="str">
        <x:v>Email Sent</x:v>
      </x:c>
      <x:c r="E9" s="34" t="n">
        <x:f>COUNTIF('Outreach CRM'!J2:J200,D9)</x:f>
        <x:v>2</x:v>
      </x:c>
    </x:row>
    <x:row r="10" ht="22" customHeight="1">
      <x:c r="A10" s="35" t="str">
        <x:v>Paid reports</x:v>
      </x:c>
      <x:c r="B10" s="34" t="n">
        <x:f>COUNTIF('Outreach CRM'!X2:X200,"Yes")</x:f>
        <x:v>0</x:v>
      </x:c>
      <x:c r="C10" s="34"/>
      <x:c r="D10" s="35" t="str">
        <x:v>Replied</x:v>
      </x:c>
      <x:c r="E10" s="34" t="n">
        <x:f>COUNTIF('Outreach CRM'!J2:J200,D10)</x:f>
        <x:v>0</x:v>
      </x:c>
    </x:row>
    <x:row r="11" ht="22" customHeight="1">
      <x:c r="A11" s="35" t="str">
        <x:v>Store launches</x:v>
      </x:c>
      <x:c r="B11" s="34" t="n">
        <x:f>COUNTIF('Outreach CRM'!Y2:Y200,"Yes")</x:f>
        <x:v>0</x:v>
      </x:c>
      <x:c r="C11" s="34"/>
      <x:c r="D11" s="35" t="str">
        <x:v>Paid Report</x:v>
      </x:c>
      <x:c r="E11" s="34" t="n">
        <x:f>COUNTIF('Outreach CRM'!J2:J200,D11)</x:f>
        <x:v>0</x:v>
      </x:c>
    </x:row>
    <x:row r="12" ht="22" customHeight="1">
      <x:c r="A12" s="35" t="str">
        <x:v>Monthly support</x:v>
      </x:c>
      <x:c r="B12" s="34" t="n">
        <x:f>COUNTIF('Outreach CRM'!Z2:Z200,"Yes")</x:f>
        <x:v>0</x:v>
      </x:c>
      <x:c r="C12" s="34"/>
      <x:c r="D12" s="35" t="str">
        <x:v>Store Launch</x:v>
      </x:c>
      <x:c r="E12" s="34" t="n">
        <x:f>COUNTIF('Outreach CRM'!J2:J200,D12)</x:f>
        <x:v>0</x:v>
      </x:c>
    </x:row>
    <x:row r="13" ht="22" customHeight="1">
      <x:c r="A13" s="35" t="str">
        <x:v>Revenue</x:v>
      </x:c>
      <x:c r="B13" s="32" t="n">
        <x:f>SUM('Outreach CRM'!AA2:AA200)</x:f>
        <x:v>0</x:v>
      </x:c>
      <x:c r="C13" s="34"/>
      <x:c r="D13" s="35" t="str">
        <x:v>Monthly Support</x:v>
      </x:c>
      <x:c r="E13" s="34" t="n">
        <x:f>COUNTIF('Outreach CRM'!J2:J200,D13)</x:f>
        <x:v>0</x:v>
      </x:c>
    </x:row>
    <x:row r="14" ht="22" customHeight="1">
      <x:c r="A14" s="35" t="str">
        <x:v>Follow-ups due</x:v>
      </x:c>
      <x:c r="B14" s="34" t="n">
        <x:f>COUNTIFS('Outreach CRM'!R2:R200,"&gt;=TODAY()",'Outreach CRM'!R2:R200,"&lt;=TODAY()+7")+COUNTIFS('Outreach CRM'!S2:S200,"&gt;=TODAY()",'Outreach CRM'!S2:S200,"&lt;=TODAY()+7")</x:f>
        <x:v>0</x:v>
      </x:c>
      <x:c r="C14" s="34"/>
      <x:c r="D14" s="35" t="str">
        <x:v>Closed</x:v>
      </x:c>
      <x:c r="E14" s="34" t="n">
        <x:f>COUNTIF('Outreach CRM'!J2:J200,D14)</x:f>
        <x:v>0</x:v>
      </x:c>
    </x:row>
    <x:row r="15" ht="22" customHeight="1">
      <x:c r="A15" s="34"/>
      <x:c r="B15" s="34"/>
      <x:c r="C15" s="34"/>
      <x:c r="D15" s="34" t="str"/>
      <x:c r="E15" s="34"/>
    </x:row>
  </x:sheetData>
  <x:mergeCells>
    <x:mergeCell ref="A1:H1"/>
  </x:mergeCells>
  <x:conditionalFormatting sqref="B4:B14">
    <x:cfRule type="dataBar" priority="1">
      <x:dataBar>
        <x:cfvo type="min"/>
        <x:cfvo type="max"/>
        <x:color rgb="FF4F8A7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6f6b5fa240a49f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4F8A74"/>
            </x14:dataBar>
          </x14:cfRule>
          <xm:sqref>B4:B14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6.25" hidden="0" customWidth="1"/>
    <x:col min="3" max="3" width="6" hidden="0" customWidth="1"/>
    <x:col min="4" max="4" width="9.880000114440918" hidden="0" customWidth="1"/>
    <x:col min="5" max="5" width="10.75" hidden="0" customWidth="1"/>
    <x:col min="6" max="6" width="9.380000114440918" hidden="0" customWidth="1"/>
  </x:cols>
  <x:sheetData>
    <x:row r="1">
      <x:c r="A1" s="3" t="str">
        <x:v>Status</x:v>
      </x:c>
      <x:c r="B1" s="3" t="str">
        <x:v>Priority</x:v>
      </x:c>
      <x:c r="C1" s="3" t="str">
        <x:v>Yes/No</x:v>
      </x:c>
      <x:c r="D1" s="3" t="str">
        <x:v>Reply Status</x:v>
      </x:c>
      <x:c r="E1" s="3" t="str">
        <x:v>Outcome</x:v>
      </x:c>
      <x:c r="F1" s="3" t="str">
        <x:v>Reply Score</x:v>
      </x:c>
    </x:row>
    <x:row r="2">
      <x:c r="A2" t="str">
        <x:v>Research Queue</x:v>
      </x:c>
      <x:c r="B2" t="str">
        <x:v>A</x:v>
      </x:c>
      <x:c r="C2" t="str">
        <x:v>Yes</x:v>
      </x:c>
      <x:c r="D2" t="str">
        <x:v>No Reply</x:v>
      </x:c>
      <x:c r="E2" t="str">
        <x:v>No Reply</x:v>
      </x:c>
      <x:c r="F2" t="n">
        <x:v>1</x:v>
      </x:c>
    </x:row>
    <x:row r="3">
      <x:c r="A3" t="str">
        <x:v>Researching</x:v>
      </x:c>
      <x:c r="B3" t="str">
        <x:v>B</x:v>
      </x:c>
      <x:c r="C3" t="str">
        <x:v>No</x:v>
      </x:c>
      <x:c r="D3" t="str">
        <x:v>Replied</x:v>
      </x:c>
      <x:c r="E3" t="str">
        <x:v>Replied</x:v>
      </x:c>
      <x:c r="F3" t="n">
        <x:v>2</x:v>
      </x:c>
    </x:row>
    <x:row r="4">
      <x:c r="A4" t="str">
        <x:v>Ready to Publish</x:v>
      </x:c>
      <x:c r="B4" t="str">
        <x:v>C</x:v>
      </x:c>
      <x:c r="C4" t="str"/>
      <x:c r="D4" t="str"/>
      <x:c r="E4" t="str">
        <x:v>Report Sold</x:v>
      </x:c>
      <x:c r="F4" t="n">
        <x:v>3</x:v>
      </x:c>
    </x:row>
    <x:row r="5">
      <x:c r="A5" t="str">
        <x:v>Published</x:v>
      </x:c>
      <x:c r="B5" t="str"/>
      <x:c r="C5" t="str"/>
      <x:c r="D5" t="str"/>
      <x:c r="E5" t="str">
        <x:v>Launch Won</x:v>
      </x:c>
      <x:c r="F5" t="n">
        <x:v>4</x:v>
      </x:c>
    </x:row>
    <x:row r="6">
      <x:c r="A6" t="str">
        <x:v>Draft Ready</x:v>
      </x:c>
      <x:c r="B6" t="str"/>
      <x:c r="C6" t="str"/>
      <x:c r="D6" t="str"/>
      <x:c r="E6" t="str">
        <x:v>Monthly Won</x:v>
      </x:c>
      <x:c r="F6" t="n">
        <x:v>5</x:v>
      </x:c>
    </x:row>
    <x:row r="7">
      <x:c r="A7" t="str">
        <x:v>Email Sent</x:v>
      </x:c>
      <x:c r="B7" t="str"/>
      <x:c r="C7" t="str"/>
      <x:c r="D7" t="str"/>
      <x:c r="E7" t="str">
        <x:v>Not a Fit</x:v>
      </x:c>
      <x:c r="F7" t="str"/>
    </x:row>
    <x:row r="8">
      <x:c r="A8" t="str">
        <x:v>Replied</x:v>
      </x:c>
      <x:c r="B8" t="str"/>
      <x:c r="C8" t="str"/>
      <x:c r="D8" t="str"/>
      <x:c r="E8" t="str">
        <x:v>Paused</x:v>
      </x:c>
      <x:c r="F8" t="str"/>
    </x:row>
    <x:row r="9">
      <x:c r="A9" t="str">
        <x:v>Paid Report</x:v>
      </x:c>
      <x:c r="B9" t="str"/>
      <x:c r="C9" t="str"/>
      <x:c r="D9" t="str"/>
      <x:c r="E9" t="str"/>
      <x:c r="F9" t="str"/>
    </x:row>
    <x:row r="10">
      <x:c r="A10" t="str">
        <x:v>Store Launch</x:v>
      </x:c>
      <x:c r="B10" t="str"/>
      <x:c r="C10" t="str"/>
      <x:c r="D10" t="str"/>
      <x:c r="E10" t="str"/>
      <x:c r="F10" t="str"/>
    </x:row>
    <x:row r="11">
      <x:c r="A11" t="str">
        <x:v>Monthly Support</x:v>
      </x:c>
      <x:c r="B11" t="str"/>
      <x:c r="C11" t="str"/>
      <x:c r="D11" t="str"/>
      <x:c r="E11" t="str"/>
      <x:c r="F11" t="str"/>
    </x:row>
    <x:row r="12">
      <x:c r="A12" t="str">
        <x:v>Closed</x:v>
      </x:c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